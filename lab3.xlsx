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83b3121c67a35c/Desktop/"/>
    </mc:Choice>
  </mc:AlternateContent>
  <xr:revisionPtr revIDLastSave="100" documentId="13_ncr:1_{3E0F41F0-5945-40E6-86C2-2ABFEAEA7A46}" xr6:coauthVersionLast="47" xr6:coauthVersionMax="47" xr10:uidLastSave="{DFAA9137-DF05-49C5-8720-BE93E0279ADD}"/>
  <bookViews>
    <workbookView xWindow="-108" yWindow="-108" windowWidth="23256" windowHeight="12456" xr2:uid="{B214061D-D1C6-40CD-8575-C81721B40EEF}"/>
  </bookViews>
  <sheets>
    <sheet name="Sheet2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C5" i="3"/>
  <c r="D3" i="1"/>
  <c r="F6" i="3"/>
  <c r="F7" i="3"/>
  <c r="F8" i="3"/>
  <c r="F9" i="3"/>
  <c r="F10" i="3"/>
  <c r="F5" i="3"/>
  <c r="E6" i="3"/>
  <c r="E7" i="3"/>
  <c r="E9" i="3"/>
  <c r="E10" i="3"/>
  <c r="E5" i="3"/>
  <c r="G6" i="3"/>
  <c r="G7" i="3"/>
  <c r="G8" i="3"/>
  <c r="G9" i="3"/>
  <c r="G10" i="3"/>
  <c r="G5" i="3"/>
  <c r="C6" i="3"/>
  <c r="C7" i="3"/>
  <c r="C8" i="3"/>
  <c r="C9" i="3"/>
  <c r="C10" i="3"/>
  <c r="D4" i="1" l="1"/>
  <c r="I5" i="3"/>
  <c r="D5" i="1"/>
  <c r="D8" i="1"/>
  <c r="D7" i="1"/>
  <c r="D6" i="1"/>
  <c r="H10" i="3"/>
  <c r="H9" i="3"/>
  <c r="H8" i="3"/>
  <c r="H7" i="3"/>
  <c r="H6" i="3"/>
  <c r="H5" i="3"/>
</calcChain>
</file>

<file path=xl/sharedStrings.xml><?xml version="1.0" encoding="utf-8"?>
<sst xmlns="http://schemas.openxmlformats.org/spreadsheetml/2006/main" count="27" uniqueCount="27">
  <si>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</si>
  <si>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</si>
  <si>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</si>
  <si>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</si>
  <si>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</si>
  <si>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</si>
  <si>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</si>
  <si>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</si>
  <si>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</si>
  <si>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</si>
  <si>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</si>
  <si>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 ID</t>
  </si>
  <si>
    <t>product name</t>
  </si>
  <si>
    <t>total price</t>
  </si>
  <si>
    <t>after 10% discount</t>
  </si>
  <si>
    <t>exist or  not</t>
  </si>
  <si>
    <t>lab 3</t>
  </si>
  <si>
    <t>total quantity</t>
  </si>
  <si>
    <t>Max</t>
  </si>
  <si>
    <t>Ordered or not ordered</t>
  </si>
  <si>
    <t>question 7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</si>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</sst>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2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1506-B771-4F5E-9599-199A7C896F92}">
  <dimension ref="A1:I10"/>
  <sheetViews>
    <sheetView tabSelected="1" workbookViewId="0">
      <selection activeCell="I3" sqref="I3"/>
    </sheetView>
  </sheetViews>
  <sheetFormatPr defaultRowHeight="14.4" x14ac:dyDescent="0.3"/>
  <cols>
    <col min="1" max="1" width="7.5546875" bestFit="1" customWidth="1"/>
    <col min="2" max="2" width="9.33203125" bestFit="1" customWidth="1"/>
    <col min="3" max="3" width="12.5546875" bestFit="1" customWidth="1"/>
    <col min="4" max="4" width="8.109375" bestFit="1" customWidth="1"/>
    <col min="5" max="5" width="9.5546875" bestFit="1" customWidth="1"/>
    <col min="6" max="6" width="11" bestFit="1" customWidth="1"/>
    <col min="7" max="7" width="16.44140625" bestFit="1" customWidth="1"/>
    <col min="8" max="8" width="19.109375" bestFit="1" customWidth="1"/>
  </cols>
  <sheetData>
    <row r="1" spans="1:9" x14ac:dyDescent="0.3">
      <c r="A1" s="1"/>
    </row>
    <row r="2" spans="1:9" x14ac:dyDescent="0.3">
      <c r="A2" s="10" t="s">
        <v>16</v>
      </c>
      <c r="B2" s="10"/>
      <c r="C2" s="10"/>
      <c r="D2" s="10"/>
      <c r="E2" s="10"/>
      <c r="F2" s="10"/>
      <c r="G2" s="10"/>
      <c r="H2" s="10"/>
      <c r="I2" s="10"/>
    </row>
    <row r="3" spans="1:9" x14ac:dyDescent="0.3">
      <c r="A3" s="13"/>
      <c r="B3" s="14" t="s">
        <v>21</v>
      </c>
      <c r="C3" s="14"/>
      <c r="D3" s="13"/>
      <c r="E3" s="15" t="s">
        <v>22</v>
      </c>
      <c r="F3" s="15" t="s">
        <v>23</v>
      </c>
      <c r="G3" s="15" t="s">
        <v>24</v>
      </c>
      <c r="H3" s="15" t="s">
        <v>25</v>
      </c>
      <c r="I3" s="15" t="s">
        <v>26</v>
      </c>
    </row>
    <row r="4" spans="1:9" ht="23.4" customHeight="1" x14ac:dyDescent="0.3">
      <c r="A4" s="4" t="s">
        <v>9</v>
      </c>
      <c r="B4" s="4" t="s">
        <v>0</v>
      </c>
      <c r="C4" s="4" t="s">
        <v>12</v>
      </c>
      <c r="D4" s="4" t="s">
        <v>10</v>
      </c>
      <c r="E4" s="4" t="s">
        <v>13</v>
      </c>
      <c r="F4" s="4" t="s">
        <v>15</v>
      </c>
      <c r="G4" s="4" t="s">
        <v>14</v>
      </c>
      <c r="H4" s="11" t="s">
        <v>19</v>
      </c>
      <c r="I4" s="12" t="s">
        <v>18</v>
      </c>
    </row>
    <row r="5" spans="1:9" x14ac:dyDescent="0.3">
      <c r="A5" s="6">
        <v>1</v>
      </c>
      <c r="B5" s="6">
        <v>101</v>
      </c>
      <c r="C5" s="6" t="str">
        <f>VLOOKUP(B5,Sheet1!$A$2:$C$8,2,FALSE)</f>
        <v>Product A</v>
      </c>
      <c r="D5" s="6">
        <v>2</v>
      </c>
      <c r="E5" s="6">
        <f>VLOOKUP(B5,Sheet1!$A$3:$C$8,3,FALSE)*D5</f>
        <v>240</v>
      </c>
      <c r="F5" s="5">
        <f>IFERROR(VLOOKUP(B5,Sheet1!$A$3:$A$8,1,0),"NOT FOUND")</f>
        <v>101</v>
      </c>
      <c r="G5" s="5">
        <f>VLOOKUP(B5,Sheet1!$A$2:$C$8,3,0)*(1-10%)</f>
        <v>108</v>
      </c>
      <c r="H5" s="5" t="str">
        <f>IF(COUNTIF($A$4:$D$10,A5)=0,"not ordered","ordered")</f>
        <v>ordered</v>
      </c>
      <c r="I5" s="9">
        <f>MAX(E5:E10)</f>
        <v>880</v>
      </c>
    </row>
    <row r="6" spans="1:9" x14ac:dyDescent="0.3">
      <c r="A6" s="6">
        <v>2</v>
      </c>
      <c r="B6" s="6">
        <v>103</v>
      </c>
      <c r="C6" s="6" t="str">
        <f>VLOOKUP(B6,Sheet1!$A$2:$C$8,2,FALSE)</f>
        <v>Product C</v>
      </c>
      <c r="D6" s="6">
        <v>1</v>
      </c>
      <c r="E6" s="6">
        <f>VLOOKUP(B6,Sheet1!$A$3:$C$8,3,FALSE)*D6</f>
        <v>200</v>
      </c>
      <c r="F6" s="5">
        <f>IFERROR(VLOOKUP(B6,Sheet1!$A$3:$A$8,1,0),"NOT FOUND")</f>
        <v>103</v>
      </c>
      <c r="G6" s="5">
        <f>VLOOKUP(B6,Sheet1!$A$2:$C$8,3,0)*(1-10%)</f>
        <v>180</v>
      </c>
      <c r="H6" s="5" t="str">
        <f t="shared" ref="H6:H10" si="0">IF(COUNTIF($A$4:$D$10,A6)=0,"not ordered","ordered")</f>
        <v>ordered</v>
      </c>
      <c r="I6" s="9"/>
    </row>
    <row r="7" spans="1:9" x14ac:dyDescent="0.3">
      <c r="A7" s="6">
        <v>3</v>
      </c>
      <c r="B7" s="6">
        <v>105</v>
      </c>
      <c r="C7" s="6" t="str">
        <f>VLOOKUP(B7,Sheet1!$A$2:$C$8,2,FALSE)</f>
        <v>Product E</v>
      </c>
      <c r="D7" s="6">
        <v>4</v>
      </c>
      <c r="E7" s="6">
        <f>VLOOKUP(B7,Sheet1!$A$3:$C$8,3,FALSE)*D7</f>
        <v>880</v>
      </c>
      <c r="F7" s="5">
        <f>IFERROR(VLOOKUP(B7,Sheet1!$A$3:$A$8,1,0),"NOT FOUND")</f>
        <v>105</v>
      </c>
      <c r="G7" s="5">
        <f>VLOOKUP(B7,Sheet1!$A$2:$C$8,3,0)*(1-10%)</f>
        <v>198</v>
      </c>
      <c r="H7" s="5" t="str">
        <f t="shared" si="0"/>
        <v>ordered</v>
      </c>
      <c r="I7" s="9"/>
    </row>
    <row r="8" spans="1:9" x14ac:dyDescent="0.3">
      <c r="A8" s="6">
        <v>4</v>
      </c>
      <c r="B8" s="6">
        <v>106</v>
      </c>
      <c r="C8" s="6" t="str">
        <f>VLOOKUP(B8,Sheet1!$A$2:$C$8,2,FALSE)</f>
        <v>Product F</v>
      </c>
      <c r="D8" s="6">
        <v>3</v>
      </c>
      <c r="E8" s="6">
        <f>VLOOKUP(B8,Sheet1!$A$3:$C$8,3,FALSE)*D8</f>
        <v>390</v>
      </c>
      <c r="F8" s="5">
        <f>IFERROR(VLOOKUP(B8,Sheet1!$A$3:$A$8,1,0),"NOT FOUND")</f>
        <v>106</v>
      </c>
      <c r="G8" s="5">
        <f>VLOOKUP(B8,Sheet1!$A$2:$C$8,3,0)*(1-10%)</f>
        <v>117</v>
      </c>
      <c r="H8" s="5" t="str">
        <f t="shared" si="0"/>
        <v>ordered</v>
      </c>
      <c r="I8" s="9"/>
    </row>
    <row r="9" spans="1:9" x14ac:dyDescent="0.3">
      <c r="A9" s="6">
        <v>5</v>
      </c>
      <c r="B9" s="6">
        <v>102</v>
      </c>
      <c r="C9" s="6" t="str">
        <f>VLOOKUP(B9,Sheet1!$A$2:$C$8,2,FALSE)</f>
        <v>Product B</v>
      </c>
      <c r="D9" s="6">
        <v>5</v>
      </c>
      <c r="E9" s="6">
        <f>VLOOKUP(B9,Sheet1!$A$3:$C$8,3,FALSE)*D9</f>
        <v>750</v>
      </c>
      <c r="F9" s="5">
        <f>IFERROR(VLOOKUP(B9,Sheet1!$A$3:$A$8,1,0),"NOT FOUND")</f>
        <v>102</v>
      </c>
      <c r="G9" s="5">
        <f>VLOOKUP(B9,Sheet1!$A$2:$C$8,3,0)*(1-10%)</f>
        <v>135</v>
      </c>
      <c r="H9" s="5" t="str">
        <f t="shared" si="0"/>
        <v>ordered</v>
      </c>
      <c r="I9" s="9"/>
    </row>
    <row r="10" spans="1:9" x14ac:dyDescent="0.3">
      <c r="A10" s="6">
        <v>6</v>
      </c>
      <c r="B10" s="6">
        <v>104</v>
      </c>
      <c r="C10" s="6" t="str">
        <f>VLOOKUP(B10,Sheet1!$A$2:$C$8,2,FALSE)</f>
        <v>Product D</v>
      </c>
      <c r="D10" s="6">
        <v>6</v>
      </c>
      <c r="E10" s="6">
        <f>VLOOKUP(B10,Sheet1!$A$3:$C$8,3,FALSE)*D10</f>
        <v>540</v>
      </c>
      <c r="F10" s="5">
        <f>IFERROR(VLOOKUP(B10,Sheet1!$A$3:$A$8,1,0),"NOT FOUND")</f>
        <v>104</v>
      </c>
      <c r="G10" s="5">
        <f>VLOOKUP(B10,Sheet1!$A$2:$C$8,3,0)*(1-10%)</f>
        <v>81</v>
      </c>
      <c r="H10" s="5" t="str">
        <f t="shared" si="0"/>
        <v>ordered</v>
      </c>
      <c r="I10" s="9"/>
    </row>
  </sheetData>
  <mergeCells count="2">
    <mergeCell ref="A2:I2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CEF7-A4C0-476D-80FE-F6A3E4E9E8A9}">
  <dimension ref="A1:D8"/>
  <sheetViews>
    <sheetView zoomScale="103" workbookViewId="0">
      <selection activeCell="B13" sqref="B13"/>
    </sheetView>
  </sheetViews>
  <sheetFormatPr defaultRowHeight="14.4" x14ac:dyDescent="0.3"/>
  <cols>
    <col min="1" max="1" width="20.33203125" bestFit="1" customWidth="1"/>
    <col min="2" max="2" width="11.88671875" customWidth="1"/>
    <col min="3" max="3" width="9.33203125" bestFit="1" customWidth="1"/>
    <col min="4" max="4" width="12.109375" bestFit="1" customWidth="1"/>
    <col min="5" max="5" width="11.33203125" customWidth="1"/>
  </cols>
  <sheetData>
    <row r="1" spans="1:4" x14ac:dyDescent="0.3">
      <c r="A1" s="7" t="s">
        <v>20</v>
      </c>
      <c r="B1" s="7"/>
      <c r="C1" s="7"/>
      <c r="D1" s="7"/>
    </row>
    <row r="2" spans="1:4" x14ac:dyDescent="0.3">
      <c r="A2" s="2" t="s">
        <v>11</v>
      </c>
      <c r="B2" s="2" t="s">
        <v>1</v>
      </c>
      <c r="C2" s="2" t="s">
        <v>2</v>
      </c>
      <c r="D2" s="8" t="s">
        <v>17</v>
      </c>
    </row>
    <row r="3" spans="1:4" x14ac:dyDescent="0.3">
      <c r="A3" s="3">
        <v>101</v>
      </c>
      <c r="B3" s="3" t="s">
        <v>3</v>
      </c>
      <c r="C3" s="3">
        <v>120</v>
      </c>
      <c r="D3" s="9">
        <f>VLOOKUP(B3,Sheet2!$C$5:$D$10,2,FALSE)</f>
        <v>2</v>
      </c>
    </row>
    <row r="4" spans="1:4" ht="21" customHeight="1" x14ac:dyDescent="0.3">
      <c r="A4" s="3">
        <v>102</v>
      </c>
      <c r="B4" s="3" t="s">
        <v>4</v>
      </c>
      <c r="C4" s="3">
        <v>150</v>
      </c>
      <c r="D4" s="9">
        <f>VLOOKUP(B4,Sheet2!$C$5:$D$10,2,FALSE)</f>
        <v>5</v>
      </c>
    </row>
    <row r="5" spans="1:4" x14ac:dyDescent="0.3">
      <c r="A5" s="3">
        <v>103</v>
      </c>
      <c r="B5" s="3" t="s">
        <v>5</v>
      </c>
      <c r="C5" s="3">
        <v>200</v>
      </c>
      <c r="D5" s="9">
        <f>VLOOKUP(B5,Sheet2!$C$5:$D$10,2,FALSE)</f>
        <v>1</v>
      </c>
    </row>
    <row r="6" spans="1:4" x14ac:dyDescent="0.3">
      <c r="A6" s="3">
        <v>104</v>
      </c>
      <c r="B6" s="3" t="s">
        <v>6</v>
      </c>
      <c r="C6" s="3">
        <v>90</v>
      </c>
      <c r="D6" s="9">
        <f>VLOOKUP(B6,Sheet2!$C$5:$D$10,2,FALSE)</f>
        <v>6</v>
      </c>
    </row>
    <row r="7" spans="1:4" x14ac:dyDescent="0.3">
      <c r="A7" s="3">
        <v>105</v>
      </c>
      <c r="B7" s="3" t="s">
        <v>7</v>
      </c>
      <c r="C7" s="3">
        <v>220</v>
      </c>
      <c r="D7" s="9">
        <f>VLOOKUP(B7,Sheet2!$C$5:$D$10,2,FALSE)</f>
        <v>4</v>
      </c>
    </row>
    <row r="8" spans="1:4" x14ac:dyDescent="0.3">
      <c r="A8" s="3">
        <v>106</v>
      </c>
      <c r="B8" s="3" t="s">
        <v>8</v>
      </c>
      <c r="C8" s="3">
        <v>130</v>
      </c>
      <c r="D8" s="9">
        <f>VLOOKUP(B8,Sheet2!$C$5:$D$10,2,FALSE)</f>
        <v>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huzaifa</dc:creator>
  <cp:lastModifiedBy>syed huzaifa</cp:lastModifiedBy>
  <dcterms:created xsi:type="dcterms:W3CDTF">2025-11-12T13:36:27Z</dcterms:created>
  <dcterms:modified xsi:type="dcterms:W3CDTF">2025-11-15T10:27:06Z</dcterms:modified>
</cp:coreProperties>
</file>